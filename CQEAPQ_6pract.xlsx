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ékelyné Kati\Desktop\"/>
    </mc:Choice>
  </mc:AlternateContent>
  <xr:revisionPtr revIDLastSave="0" documentId="13_ncr:1_{1BA3A0A1-DE31-4431-A16C-DD1CB4455372}" xr6:coauthVersionLast="36" xr6:coauthVersionMax="36" xr10:uidLastSave="{00000000-0000-0000-0000-000000000000}"/>
  <bookViews>
    <workbookView xWindow="0" yWindow="0" windowWidth="19200" windowHeight="6930" xr2:uid="{3B4EF711-D3A8-4B94-AA1D-6EAC0227918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5" i="1"/>
  <c r="E7" i="1"/>
  <c r="E8" i="1"/>
  <c r="E9" i="1"/>
  <c r="E10" i="1"/>
  <c r="E11" i="1"/>
  <c r="E12" i="1"/>
  <c r="E13" i="1"/>
  <c r="E14" i="1"/>
  <c r="E6" i="1"/>
  <c r="D16" i="1"/>
  <c r="D15" i="1"/>
  <c r="C16" i="1"/>
  <c r="B16" i="1"/>
  <c r="C15" i="1"/>
  <c r="B15" i="1"/>
  <c r="D7" i="1"/>
  <c r="D8" i="1"/>
  <c r="D9" i="1"/>
  <c r="D10" i="1"/>
  <c r="D11" i="1"/>
  <c r="D12" i="1"/>
  <c r="D13" i="1"/>
  <c r="D14" i="1"/>
  <c r="D6" i="1"/>
</calcChain>
</file>

<file path=xl/sharedStrings.xml><?xml version="1.0" encoding="utf-8"?>
<sst xmlns="http://schemas.openxmlformats.org/spreadsheetml/2006/main" count="20" uniqueCount="20">
  <si>
    <t>November</t>
  </si>
  <si>
    <t>Nap</t>
  </si>
  <si>
    <t>Óra állása</t>
  </si>
  <si>
    <t>1.</t>
  </si>
  <si>
    <t>2.</t>
  </si>
  <si>
    <t>10.</t>
  </si>
  <si>
    <t>6.</t>
  </si>
  <si>
    <t>5.</t>
  </si>
  <si>
    <t>16.</t>
  </si>
  <si>
    <t>17.</t>
  </si>
  <si>
    <t>20.</t>
  </si>
  <si>
    <t>29.</t>
  </si>
  <si>
    <t>Megtett km</t>
  </si>
  <si>
    <t>Összesen</t>
  </si>
  <si>
    <t>Átlag</t>
  </si>
  <si>
    <t xml:space="preserve"> Fogyasztás (liter/km)</t>
  </si>
  <si>
    <t>Üzemanyag ára (Ft/liter)</t>
  </si>
  <si>
    <t>Indulás</t>
  </si>
  <si>
    <t>Érkezés</t>
  </si>
  <si>
    <t>Benzinköltség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</si>
</sst>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F_t_-;\-* #,##0.00\ _F_t_-;_-* &quot;-&quot;??\ _F_t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thick">
        <color auto="1"/>
      </top>
      <bottom/>
      <diagonal/>
    </border>
    <border>
      <left style="dotted">
        <color auto="1"/>
      </left>
      <right/>
      <top/>
      <bottom/>
      <diagonal/>
    </border>
    <border>
      <left style="thick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/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0" fillId="4" borderId="11" xfId="0" applyFill="1" applyBorder="1"/>
    <xf numFmtId="0" fontId="2" fillId="4" borderId="11" xfId="0" applyFont="1" applyFill="1" applyBorder="1" applyAlignment="1">
      <alignment horizontal="left"/>
    </xf>
    <xf numFmtId="0" fontId="0" fillId="4" borderId="12" xfId="0" applyFill="1" applyBorder="1"/>
    <xf numFmtId="0" fontId="2" fillId="4" borderId="12" xfId="0" applyFont="1" applyFill="1" applyBorder="1" applyAlignment="1"/>
    <xf numFmtId="0" fontId="2" fillId="4" borderId="10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6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14" xfId="0" applyFont="1" applyBorder="1"/>
    <xf numFmtId="0" fontId="2" fillId="0" borderId="15" xfId="0" applyFont="1" applyBorder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43" fontId="0" fillId="0" borderId="15" xfId="1" applyFont="1" applyBorder="1" applyAlignment="1">
      <alignment horizontal="center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MEGTETT</a:t>
            </a:r>
            <a:r>
              <a:rPr lang="hu-HU" baseline="0"/>
              <a:t> KM</a:t>
            </a:r>
            <a:endParaRPr lang="hu-HU"/>
          </a:p>
        </c:rich>
      </c:tx>
      <c:layout>
        <c:manualLayout>
          <c:xMode val="edge"/>
          <c:yMode val="edge"/>
          <c:x val="0.3723193350831146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Munka1!$A$6:$A$14</c:f>
              <c:strCache>
                <c:ptCount val="9"/>
                <c:pt idx="0">
                  <c:v>1.</c:v>
                </c:pt>
                <c:pt idx="1">
                  <c:v>2.</c:v>
                </c:pt>
                <c:pt idx="2">
                  <c:v>5.</c:v>
                </c:pt>
                <c:pt idx="3">
                  <c:v>6.</c:v>
                </c:pt>
                <c:pt idx="4">
                  <c:v>10.</c:v>
                </c:pt>
                <c:pt idx="5">
                  <c:v>16.</c:v>
                </c:pt>
                <c:pt idx="6">
                  <c:v>17.</c:v>
                </c:pt>
                <c:pt idx="7">
                  <c:v>20.</c:v>
                </c:pt>
                <c:pt idx="8">
                  <c:v>29.</c:v>
                </c:pt>
              </c:strCache>
            </c:strRef>
          </c:cat>
          <c:val>
            <c:numRef>
              <c:f>Munka1!$D$6:$D$14</c:f>
              <c:numCache>
                <c:formatCode>General</c:formatCode>
                <c:ptCount val="9"/>
                <c:pt idx="0">
                  <c:v>280</c:v>
                </c:pt>
                <c:pt idx="1">
                  <c:v>95</c:v>
                </c:pt>
                <c:pt idx="2">
                  <c:v>60</c:v>
                </c:pt>
                <c:pt idx="3">
                  <c:v>30</c:v>
                </c:pt>
                <c:pt idx="4">
                  <c:v>320</c:v>
                </c:pt>
                <c:pt idx="5">
                  <c:v>215</c:v>
                </c:pt>
                <c:pt idx="6">
                  <c:v>64</c:v>
                </c:pt>
                <c:pt idx="7">
                  <c:v>143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8-42EE-A43D-E268DBBC6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038207"/>
        <c:axId val="128055791"/>
      </c:barChart>
      <c:catAx>
        <c:axId val="72603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Napok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8055791"/>
        <c:crosses val="autoZero"/>
        <c:auto val="1"/>
        <c:lblAlgn val="ctr"/>
        <c:lblOffset val="100"/>
        <c:noMultiLvlLbl val="0"/>
      </c:catAx>
      <c:valAx>
        <c:axId val="12805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Kilométer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2603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Benzinköltség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Munka1!$A$6:$A$14</c:f>
              <c:strCache>
                <c:ptCount val="9"/>
                <c:pt idx="0">
                  <c:v>1.</c:v>
                </c:pt>
                <c:pt idx="1">
                  <c:v>2.</c:v>
                </c:pt>
                <c:pt idx="2">
                  <c:v>5.</c:v>
                </c:pt>
                <c:pt idx="3">
                  <c:v>6.</c:v>
                </c:pt>
                <c:pt idx="4">
                  <c:v>10.</c:v>
                </c:pt>
                <c:pt idx="5">
                  <c:v>16.</c:v>
                </c:pt>
                <c:pt idx="6">
                  <c:v>17.</c:v>
                </c:pt>
                <c:pt idx="7">
                  <c:v>20.</c:v>
                </c:pt>
                <c:pt idx="8">
                  <c:v>29.</c:v>
                </c:pt>
              </c:strCache>
            </c:strRef>
          </c:cat>
          <c:val>
            <c:numRef>
              <c:f>Munka1!$E$6:$E$14</c:f>
              <c:numCache>
                <c:formatCode>General</c:formatCode>
                <c:ptCount val="9"/>
                <c:pt idx="0">
                  <c:v>36400</c:v>
                </c:pt>
                <c:pt idx="1">
                  <c:v>12350</c:v>
                </c:pt>
                <c:pt idx="2">
                  <c:v>7800</c:v>
                </c:pt>
                <c:pt idx="3">
                  <c:v>3900</c:v>
                </c:pt>
                <c:pt idx="4">
                  <c:v>41600</c:v>
                </c:pt>
                <c:pt idx="5">
                  <c:v>27950</c:v>
                </c:pt>
                <c:pt idx="6">
                  <c:v>8320</c:v>
                </c:pt>
                <c:pt idx="7">
                  <c:v>18590</c:v>
                </c:pt>
                <c:pt idx="8">
                  <c:v>5460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0-4138-979A-8B5C196D9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8479"/>
        <c:axId val="128058703"/>
      </c:barChart>
      <c:catAx>
        <c:axId val="12630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Napok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8058703"/>
        <c:crosses val="autoZero"/>
        <c:auto val="1"/>
        <c:lblAlgn val="ctr"/>
        <c:lblOffset val="100"/>
        <c:noMultiLvlLbl val="0"/>
      </c:catAx>
      <c:valAx>
        <c:axId val="1280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Benzinköltség</a:t>
                </a:r>
                <a:r>
                  <a:rPr lang="hu-HU" baseline="0"/>
                  <a:t> forintban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630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16</xdr:row>
      <xdr:rowOff>165100</xdr:rowOff>
    </xdr:from>
    <xdr:to>
      <xdr:col>6</xdr:col>
      <xdr:colOff>238125</xdr:colOff>
      <xdr:row>31</xdr:row>
      <xdr:rowOff>139700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A67E1DE5-6FB7-46DB-A296-AA94362D5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307975</xdr:colOff>
      <xdr:row>34</xdr:row>
      <xdr:rowOff>63500</xdr:rowOff>
    </xdr:from>
    <xdr:to>
      <xdr:col>6</xdr:col>
      <xdr:colOff>276225</xdr:colOff>
      <xdr:row>50</xdr:row>
      <xdr:rowOff>69850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27FCC04-53B6-4D5E-B9B7-04E6040FB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6596-DD15-4481-8C1E-F2455C86584E}">
  <dimension ref="A1:H17"/>
  <sheetViews>
    <sheetView tabSelected="1" topLeftCell="A19" zoomScale="115" zoomScaleNormal="115" workbookViewId="0">
      <selection activeCell="G42" sqref="G42"/>
    </sheetView>
  </sheetViews>
  <sheetFormatPr defaultRowHeight="14.5" x14ac:dyDescent="0.35"/>
  <cols>
    <col min="2" max="2" width="13.26953125" customWidth="1"/>
    <col min="4" max="4" width="11.81640625" customWidth="1"/>
    <col min="5" max="5" width="14.1796875" customWidth="1"/>
    <col min="7" max="7" width="28.453125" customWidth="1"/>
  </cols>
  <sheetData>
    <row r="1" spans="1:8" ht="15" thickTop="1" x14ac:dyDescent="0.3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5">
      <c r="A2" s="4"/>
      <c r="B2" s="5"/>
      <c r="C2" s="5"/>
      <c r="D2" s="5"/>
      <c r="E2" s="5"/>
      <c r="F2" s="5"/>
      <c r="G2" s="5"/>
      <c r="H2" s="6"/>
    </row>
    <row r="3" spans="1:8" ht="15" thickBot="1" x14ac:dyDescent="0.4">
      <c r="A3" s="7"/>
      <c r="B3" s="8"/>
      <c r="C3" s="8"/>
      <c r="D3" s="8"/>
      <c r="E3" s="8"/>
      <c r="F3" s="8"/>
      <c r="G3" s="8"/>
      <c r="H3" s="9"/>
    </row>
    <row r="4" spans="1:8" ht="15.5" thickTop="1" thickBot="1" x14ac:dyDescent="0.4">
      <c r="A4" s="12" t="s">
        <v>1</v>
      </c>
      <c r="B4" s="21" t="s">
        <v>2</v>
      </c>
      <c r="C4" s="20"/>
      <c r="E4" s="10"/>
      <c r="H4" s="11"/>
    </row>
    <row r="5" spans="1:8" ht="15.5" thickTop="1" thickBot="1" x14ac:dyDescent="0.4">
      <c r="A5" s="22"/>
      <c r="B5" s="13" t="s">
        <v>17</v>
      </c>
      <c r="C5" s="13" t="s">
        <v>18</v>
      </c>
      <c r="D5" s="14" t="s">
        <v>12</v>
      </c>
      <c r="E5" s="14" t="s">
        <v>19</v>
      </c>
      <c r="F5" s="16"/>
      <c r="G5" s="17" t="s">
        <v>15</v>
      </c>
      <c r="H5" s="15">
        <v>5</v>
      </c>
    </row>
    <row r="6" spans="1:8" ht="15.5" thickTop="1" thickBot="1" x14ac:dyDescent="0.4">
      <c r="A6" s="24" t="s">
        <v>3</v>
      </c>
      <c r="B6" s="25">
        <v>12500</v>
      </c>
      <c r="C6" s="26">
        <v>12780</v>
      </c>
      <c r="D6" s="46">
        <f>C6-B6</f>
        <v>280</v>
      </c>
      <c r="E6" s="46">
        <f>D6/$H$5*$H$6</f>
        <v>36400</v>
      </c>
      <c r="G6" s="19" t="s">
        <v>16</v>
      </c>
      <c r="H6" s="18">
        <v>650</v>
      </c>
    </row>
    <row r="7" spans="1:8" ht="15.5" thickTop="1" thickBot="1" x14ac:dyDescent="0.4">
      <c r="A7" s="24" t="s">
        <v>4</v>
      </c>
      <c r="B7" s="27">
        <v>12905</v>
      </c>
      <c r="C7" s="28">
        <v>13000</v>
      </c>
      <c r="D7" s="46">
        <f t="shared" ref="D7:D14" si="0">C7-B7</f>
        <v>95</v>
      </c>
      <c r="E7" s="46">
        <f t="shared" ref="E7:E14" si="1">D7/$H$5*$H$6</f>
        <v>12350</v>
      </c>
      <c r="F7" s="36"/>
      <c r="G7" s="37"/>
      <c r="H7" s="38"/>
    </row>
    <row r="8" spans="1:8" ht="15.5" thickTop="1" thickBot="1" x14ac:dyDescent="0.4">
      <c r="A8" s="24" t="s">
        <v>7</v>
      </c>
      <c r="B8" s="27">
        <v>13420</v>
      </c>
      <c r="C8" s="28">
        <v>13480</v>
      </c>
      <c r="D8" s="46">
        <f t="shared" si="0"/>
        <v>60</v>
      </c>
      <c r="E8" s="46">
        <f t="shared" si="1"/>
        <v>7800</v>
      </c>
      <c r="F8" s="39"/>
      <c r="G8" s="40"/>
      <c r="H8" s="41"/>
    </row>
    <row r="9" spans="1:8" ht="15.5" thickTop="1" thickBot="1" x14ac:dyDescent="0.4">
      <c r="A9" s="24" t="s">
        <v>6</v>
      </c>
      <c r="B9" s="27">
        <v>13480</v>
      </c>
      <c r="C9" s="28">
        <v>13510</v>
      </c>
      <c r="D9" s="46">
        <f t="shared" si="0"/>
        <v>30</v>
      </c>
      <c r="E9" s="46">
        <f t="shared" si="1"/>
        <v>3900</v>
      </c>
      <c r="F9" s="39"/>
      <c r="G9" s="40"/>
      <c r="H9" s="41"/>
    </row>
    <row r="10" spans="1:8" ht="15.5" thickTop="1" thickBot="1" x14ac:dyDescent="0.4">
      <c r="A10" s="24" t="s">
        <v>5</v>
      </c>
      <c r="B10" s="27">
        <v>14200</v>
      </c>
      <c r="C10" s="28">
        <v>14520</v>
      </c>
      <c r="D10" s="46">
        <f t="shared" si="0"/>
        <v>320</v>
      </c>
      <c r="E10" s="46">
        <f t="shared" si="1"/>
        <v>41600</v>
      </c>
      <c r="F10" s="39"/>
      <c r="G10" s="40"/>
      <c r="H10" s="41"/>
    </row>
    <row r="11" spans="1:8" ht="15.5" thickTop="1" thickBot="1" x14ac:dyDescent="0.4">
      <c r="A11" s="24" t="s">
        <v>8</v>
      </c>
      <c r="B11" s="27">
        <v>16000</v>
      </c>
      <c r="C11" s="28">
        <v>16215</v>
      </c>
      <c r="D11" s="46">
        <f t="shared" si="0"/>
        <v>215</v>
      </c>
      <c r="E11" s="46">
        <f t="shared" si="1"/>
        <v>27950</v>
      </c>
      <c r="F11" s="39"/>
      <c r="G11" s="40"/>
      <c r="H11" s="41"/>
    </row>
    <row r="12" spans="1:8" ht="15.5" thickTop="1" thickBot="1" x14ac:dyDescent="0.4">
      <c r="A12" s="24" t="s">
        <v>9</v>
      </c>
      <c r="B12" s="27">
        <v>16220</v>
      </c>
      <c r="C12" s="28">
        <v>16284</v>
      </c>
      <c r="D12" s="46">
        <f t="shared" si="0"/>
        <v>64</v>
      </c>
      <c r="E12" s="46">
        <f t="shared" si="1"/>
        <v>8320</v>
      </c>
      <c r="F12" s="39"/>
      <c r="G12" s="40"/>
      <c r="H12" s="41"/>
    </row>
    <row r="13" spans="1:8" ht="15.5" thickTop="1" thickBot="1" x14ac:dyDescent="0.4">
      <c r="A13" s="24" t="s">
        <v>10</v>
      </c>
      <c r="B13" s="27">
        <v>17080</v>
      </c>
      <c r="C13" s="28">
        <v>17223</v>
      </c>
      <c r="D13" s="46">
        <f t="shared" si="0"/>
        <v>143</v>
      </c>
      <c r="E13" s="46">
        <f t="shared" si="1"/>
        <v>18590</v>
      </c>
      <c r="F13" s="39"/>
      <c r="G13" s="40"/>
      <c r="H13" s="41"/>
    </row>
    <row r="14" spans="1:8" ht="15.5" thickTop="1" thickBot="1" x14ac:dyDescent="0.4">
      <c r="A14" s="29" t="s">
        <v>11</v>
      </c>
      <c r="B14" s="27">
        <v>17288</v>
      </c>
      <c r="C14" s="28">
        <v>17330</v>
      </c>
      <c r="D14" s="46">
        <f t="shared" si="0"/>
        <v>42</v>
      </c>
      <c r="E14" s="46">
        <f t="shared" si="1"/>
        <v>5460</v>
      </c>
      <c r="F14" s="35"/>
      <c r="G14" s="42"/>
      <c r="H14" s="43"/>
    </row>
    <row r="15" spans="1:8" ht="15" thickTop="1" x14ac:dyDescent="0.35">
      <c r="A15" s="44" t="s">
        <v>13</v>
      </c>
      <c r="B15" s="47">
        <f>SUM(B6:B14)</f>
        <v>133093</v>
      </c>
      <c r="C15" s="47">
        <f>SUM(C6:C14)</f>
        <v>134342</v>
      </c>
      <c r="D15" s="47">
        <f>SUM(D6:D14)</f>
        <v>1249</v>
      </c>
      <c r="E15" s="47">
        <f>SUM(E6:E14)</f>
        <v>162370</v>
      </c>
      <c r="F15" s="34"/>
      <c r="G15" s="30"/>
      <c r="H15" s="31"/>
    </row>
    <row r="16" spans="1:8" ht="15" thickBot="1" x14ac:dyDescent="0.4">
      <c r="A16" s="45" t="s">
        <v>14</v>
      </c>
      <c r="B16" s="48">
        <f>AVERAGE(B6:B14)</f>
        <v>14788.111111111111</v>
      </c>
      <c r="C16" s="23">
        <f>AVERAGE(C6:C14)</f>
        <v>14926.888888888889</v>
      </c>
      <c r="D16" s="48">
        <f>AVERAGE(D6:D14)</f>
        <v>138.77777777777777</v>
      </c>
      <c r="E16" s="48">
        <f>AVERAGE(E6:E14)</f>
        <v>18041.111111111109</v>
      </c>
      <c r="F16" s="35"/>
      <c r="G16" s="32"/>
      <c r="H16" s="33"/>
    </row>
    <row r="17" ht="15" thickTop="1" x14ac:dyDescent="0.35"/>
  </sheetData>
  <mergeCells count="2">
    <mergeCell ref="A1:H3"/>
    <mergeCell ref="B4:C4"/>
  </mergeCells>
  <pageMargins left="0.7" right="0.7" top="0.75" bottom="0.75" header="0.3" footer="0.3"/>
  <pageSetup paperSize="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Székelyné Kati</dc:creator>
  <cp:lastModifiedBy>Székelyné Kati</cp:lastModifiedBy>
  <cp:lastPrinted>2024-11-29T10:24:23Z</cp:lastPrinted>
  <dcterms:created xsi:type="dcterms:W3CDTF">2024-11-29T10:00:26Z</dcterms:created>
  <dcterms:modified xsi:type="dcterms:W3CDTF">2024-11-29T10:24:32Z</dcterms:modified>
</cp:coreProperties>
</file>